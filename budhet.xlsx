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19\Downloads\"/>
    </mc:Choice>
  </mc:AlternateContent>
  <xr:revisionPtr revIDLastSave="0" documentId="13_ncr:1_{6EBC4D67-3406-4E1C-9572-797C5400080C}" xr6:coauthVersionLast="47" xr6:coauthVersionMax="47" xr10:uidLastSave="{00000000-0000-0000-0000-000000000000}"/>
  <bookViews>
    <workbookView xWindow="-120" yWindow="-120" windowWidth="29040" windowHeight="15840" activeTab="1" xr2:uid="{D69F50E6-86D5-4449-9E68-09B84A0FC2A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2" l="1"/>
  <c r="P13" i="2"/>
  <c r="P14" i="2"/>
  <c r="P11" i="2"/>
  <c r="K12" i="2"/>
  <c r="K13" i="2"/>
  <c r="K14" i="2"/>
  <c r="K15" i="2"/>
  <c r="K16" i="2"/>
  <c r="K17" i="2"/>
  <c r="K11" i="2"/>
  <c r="V23" i="2"/>
  <c r="C6" i="2" s="1"/>
  <c r="U23" i="2"/>
  <c r="B6" i="2" s="1"/>
  <c r="R23" i="2"/>
  <c r="Q23" i="2"/>
  <c r="M23" i="2"/>
  <c r="L23" i="2"/>
  <c r="H23" i="2"/>
  <c r="C5" i="2" s="1"/>
  <c r="C23" i="2"/>
  <c r="C4" i="2" s="1"/>
  <c r="G23" i="2"/>
  <c r="B5" i="2" s="1"/>
  <c r="B23" i="2"/>
  <c r="B4" i="2" s="1"/>
  <c r="E6" i="1"/>
  <c r="B6" i="1"/>
  <c r="D6" i="2" l="1"/>
  <c r="D5" i="2"/>
  <c r="D4" i="2"/>
  <c r="B7" i="2"/>
  <c r="D7" i="2" l="1"/>
</calcChain>
</file>

<file path=xl/sharedStrings.xml><?xml version="1.0" encoding="utf-8"?>
<sst xmlns="http://schemas.openxmlformats.org/spreadsheetml/2006/main" count="78" uniqueCount="54">
  <si>
    <t>Income</t>
  </si>
  <si>
    <t>Source</t>
  </si>
  <si>
    <t>Montly Income</t>
  </si>
  <si>
    <t>Value</t>
  </si>
  <si>
    <t>Part-time job</t>
  </si>
  <si>
    <t>Parents' help</t>
  </si>
  <si>
    <t>Summary</t>
  </si>
  <si>
    <t>Essential</t>
  </si>
  <si>
    <t>Wants</t>
  </si>
  <si>
    <t>Savings</t>
  </si>
  <si>
    <t>Monthly expenses</t>
  </si>
  <si>
    <t>Rent</t>
  </si>
  <si>
    <t>Groceries</t>
  </si>
  <si>
    <t>Tutition/fees</t>
  </si>
  <si>
    <t>Scholarship</t>
  </si>
  <si>
    <t>Planned</t>
  </si>
  <si>
    <t>Actual</t>
  </si>
  <si>
    <t>Salary</t>
  </si>
  <si>
    <t>Allowance</t>
  </si>
  <si>
    <t>Gifts</t>
  </si>
  <si>
    <t>Pension</t>
  </si>
  <si>
    <t>Other</t>
  </si>
  <si>
    <t>Expenses</t>
  </si>
  <si>
    <t>Category</t>
  </si>
  <si>
    <t>Accomodation</t>
  </si>
  <si>
    <t>Bills</t>
  </si>
  <si>
    <t>Due</t>
  </si>
  <si>
    <t>Internet</t>
  </si>
  <si>
    <t>Education</t>
  </si>
  <si>
    <t>Mobile phone</t>
  </si>
  <si>
    <t>Entertainment</t>
  </si>
  <si>
    <t>Subscription</t>
  </si>
  <si>
    <t>Netflix</t>
  </si>
  <si>
    <t>Spotify</t>
  </si>
  <si>
    <t>Audible</t>
  </si>
  <si>
    <t>Water</t>
  </si>
  <si>
    <t>Gas</t>
  </si>
  <si>
    <t>Electricity</t>
  </si>
  <si>
    <t>Waste</t>
  </si>
  <si>
    <t>iCloud</t>
  </si>
  <si>
    <t>Transportation</t>
  </si>
  <si>
    <t>Health&amp;Beaty</t>
  </si>
  <si>
    <t>Electronics</t>
  </si>
  <si>
    <t>Appliances</t>
  </si>
  <si>
    <t>Giftts&amp;Donations</t>
  </si>
  <si>
    <t>Sum</t>
  </si>
  <si>
    <t>Aim</t>
  </si>
  <si>
    <t>Investments</t>
  </si>
  <si>
    <t>Travel</t>
  </si>
  <si>
    <t>Retirement</t>
  </si>
  <si>
    <t>Month</t>
  </si>
  <si>
    <t>Expences</t>
  </si>
  <si>
    <t>Balance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</si>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</sst>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€-2]\ #,##0.00"/>
    <numFmt numFmtId="167" formatCode="_-* #,##0.00\ [$zł-415]_-;\-* #,##0.00\ [$zł-415]_-;_-* &quot;-&quot;??\ [$zł-415]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5" fillId="14" borderId="0" applyNumberFormat="0" applyBorder="0" applyAlignment="0" applyProtection="0"/>
    <xf numFmtId="0" fontId="1" fillId="15" borderId="0" applyNumberFormat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2" fillId="2" borderId="1" xfId="1" applyBorder="1"/>
    <xf numFmtId="164" fontId="0" fillId="0" borderId="1" xfId="0" applyNumberFormat="1" applyBorder="1"/>
    <xf numFmtId="164" fontId="2" fillId="2" borderId="1" xfId="1" applyNumberFormat="1" applyBorder="1"/>
    <xf numFmtId="0" fontId="3" fillId="3" borderId="1" xfId="2" applyBorder="1"/>
    <xf numFmtId="0" fontId="1" fillId="6" borderId="1" xfId="5" applyBorder="1"/>
    <xf numFmtId="0" fontId="1" fillId="9" borderId="1" xfId="8" applyBorder="1"/>
    <xf numFmtId="0" fontId="1" fillId="12" borderId="1" xfId="11" applyBorder="1"/>
    <xf numFmtId="0" fontId="0" fillId="12" borderId="1" xfId="11" applyFont="1" applyBorder="1"/>
    <xf numFmtId="0" fontId="5" fillId="14" borderId="1" xfId="13" applyBorder="1"/>
    <xf numFmtId="0" fontId="5" fillId="8" borderId="1" xfId="7" applyBorder="1"/>
    <xf numFmtId="0" fontId="5" fillId="5" borderId="1" xfId="4" applyBorder="1"/>
    <xf numFmtId="0" fontId="5" fillId="11" borderId="1" xfId="10" applyBorder="1"/>
    <xf numFmtId="0" fontId="1" fillId="15" borderId="1" xfId="14" applyBorder="1"/>
    <xf numFmtId="0" fontId="1" fillId="10" borderId="1" xfId="9" applyBorder="1"/>
    <xf numFmtId="0" fontId="1" fillId="7" borderId="1" xfId="6" applyBorder="1"/>
    <xf numFmtId="0" fontId="1" fillId="13" borderId="1" xfId="12" applyBorder="1"/>
    <xf numFmtId="165" fontId="2" fillId="2" borderId="1" xfId="1" applyNumberFormat="1" applyBorder="1"/>
    <xf numFmtId="165" fontId="5" fillId="14" borderId="1" xfId="13" applyNumberFormat="1" applyBorder="1"/>
    <xf numFmtId="0" fontId="4" fillId="4" borderId="1" xfId="3" applyBorder="1"/>
    <xf numFmtId="14" fontId="1" fillId="6" borderId="1" xfId="5" applyNumberFormat="1" applyBorder="1"/>
    <xf numFmtId="14" fontId="1" fillId="9" borderId="1" xfId="8" applyNumberFormat="1" applyBorder="1"/>
    <xf numFmtId="0" fontId="2" fillId="2" borderId="1" xfId="1" applyBorder="1" applyAlignment="1">
      <alignment horizontal="center"/>
    </xf>
    <xf numFmtId="0" fontId="3" fillId="3" borderId="1" xfId="2" applyBorder="1" applyAlignment="1">
      <alignment horizontal="center"/>
    </xf>
    <xf numFmtId="0" fontId="5" fillId="8" borderId="2" xfId="7" applyBorder="1" applyAlignment="1">
      <alignment horizontal="center"/>
    </xf>
    <xf numFmtId="0" fontId="5" fillId="8" borderId="4" xfId="7" applyBorder="1" applyAlignment="1">
      <alignment horizontal="center"/>
    </xf>
    <xf numFmtId="0" fontId="5" fillId="8" borderId="3" xfId="7" applyBorder="1" applyAlignment="1">
      <alignment horizontal="center"/>
    </xf>
    <xf numFmtId="0" fontId="5" fillId="5" borderId="2" xfId="4" applyBorder="1" applyAlignment="1">
      <alignment horizontal="center"/>
    </xf>
    <xf numFmtId="0" fontId="5" fillId="5" borderId="4" xfId="4" applyBorder="1" applyAlignment="1">
      <alignment horizontal="center"/>
    </xf>
    <xf numFmtId="0" fontId="5" fillId="5" borderId="3" xfId="4" applyBorder="1" applyAlignment="1">
      <alignment horizontal="center"/>
    </xf>
    <xf numFmtId="0" fontId="5" fillId="14" borderId="2" xfId="13" applyBorder="1" applyAlignment="1">
      <alignment horizontal="center"/>
    </xf>
    <xf numFmtId="0" fontId="5" fillId="14" borderId="4" xfId="13" applyBorder="1" applyAlignment="1">
      <alignment horizontal="center"/>
    </xf>
    <xf numFmtId="0" fontId="5" fillId="14" borderId="3" xfId="13" applyBorder="1" applyAlignment="1">
      <alignment horizontal="center"/>
    </xf>
    <xf numFmtId="0" fontId="5" fillId="11" borderId="2" xfId="10" applyBorder="1" applyAlignment="1">
      <alignment horizontal="center"/>
    </xf>
    <xf numFmtId="0" fontId="5" fillId="11" borderId="4" xfId="10" applyBorder="1" applyAlignment="1">
      <alignment horizontal="center"/>
    </xf>
    <xf numFmtId="0" fontId="5" fillId="11" borderId="3" xfId="1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7" fontId="1" fillId="9" borderId="1" xfId="8" applyNumberFormat="1" applyBorder="1"/>
    <xf numFmtId="167" fontId="2" fillId="2" borderId="1" xfId="1" applyNumberFormat="1" applyBorder="1"/>
    <xf numFmtId="167" fontId="5" fillId="14" borderId="1" xfId="13" applyNumberFormat="1" applyBorder="1"/>
    <xf numFmtId="167" fontId="3" fillId="3" borderId="1" xfId="2" applyNumberFormat="1" applyBorder="1"/>
    <xf numFmtId="167" fontId="5" fillId="8" borderId="1" xfId="7" applyNumberFormat="1" applyBorder="1"/>
    <xf numFmtId="167" fontId="1" fillId="6" borderId="1" xfId="5" applyNumberFormat="1" applyBorder="1"/>
    <xf numFmtId="167" fontId="5" fillId="5" borderId="1" xfId="4" applyNumberFormat="1" applyBorder="1"/>
    <xf numFmtId="167" fontId="1" fillId="12" borderId="1" xfId="11" applyNumberFormat="1" applyBorder="1"/>
    <xf numFmtId="167" fontId="5" fillId="11" borderId="1" xfId="10" applyNumberFormat="1" applyBorder="1"/>
  </cellXfs>
  <cellStyles count="15">
    <cellStyle name="40% - Accent1" xfId="5" builtinId="31"/>
    <cellStyle name="40% - Accent2" xfId="8" builtinId="35"/>
    <cellStyle name="40% - Accent4" xfId="11" builtinId="43"/>
    <cellStyle name="60% - Accent1" xfId="6" builtinId="32"/>
    <cellStyle name="60% - Accent2" xfId="9" builtinId="36"/>
    <cellStyle name="60% - Accent4" xfId="12" builtinId="44"/>
    <cellStyle name="60% - Accent6" xfId="14" builtinId="52"/>
    <cellStyle name="Accent1" xfId="4" builtinId="29"/>
    <cellStyle name="Accent2" xfId="7" builtinId="33"/>
    <cellStyle name="Accent4" xfId="10" builtinId="41"/>
    <cellStyle name="Accent6" xfId="13" builtinId="49"/>
    <cellStyle name="Bad" xfId="2" builtinId="27"/>
    <cellStyle name="Good" xfId="1" builtinId="26"/>
    <cellStyle name="Neutral" xfId="3" builtinId="2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Sheet2!$B$4:$B$6</c:f>
              <c:numCache>
                <c:formatCode>_-* #,##0.00\ [$zł-415]_-;\-* #,##0.00\ [$zł-415]_-;_-* "-"??\ [$zł-415]_-;_-@_-</c:formatCode>
                <c:ptCount val="3"/>
                <c:pt idx="0">
                  <c:v>2030</c:v>
                </c:pt>
                <c:pt idx="1">
                  <c:v>1610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6-4E00-8B32-BFB95CD31A8D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Sheet2!$C$4:$C$6</c:f>
              <c:numCache>
                <c:formatCode>_-* #,##0.00\ [$zł-415]_-;\-* #,##0.00\ [$zł-415]_-;_-* "-"??\ [$zł-415]_-;_-@_-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6-4E00-8B32-BFB95CD3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710848"/>
        <c:axId val="1311712768"/>
      </c:barChart>
      <c:catAx>
        <c:axId val="131171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1712768"/>
        <c:crosses val="autoZero"/>
        <c:auto val="1"/>
        <c:lblAlgn val="ctr"/>
        <c:lblOffset val="100"/>
        <c:noMultiLvlLbl val="0"/>
      </c:catAx>
      <c:valAx>
        <c:axId val="13117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zł-415]_-;\-* #,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17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structure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60383757121784"/>
          <c:y val="0.18202827733144425"/>
          <c:w val="0.27582160381017456"/>
          <c:h val="0.688892332544423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9E-4338-9B90-E4CA16C7EE3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9E-4338-9B90-E4CA16C7EE3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9E-4338-9B90-E4CA16C7EE3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9E-4338-9B90-E4CA16C7E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Sheet2!$A$11:$A$14</c:f>
              <c:strCache>
                <c:ptCount val="4"/>
                <c:pt idx="0">
                  <c:v>Scholarship</c:v>
                </c:pt>
                <c:pt idx="1">
                  <c:v>Salary</c:v>
                </c:pt>
                <c:pt idx="2">
                  <c:v>Allowance</c:v>
                </c:pt>
                <c:pt idx="3">
                  <c:v>Gifts</c:v>
                </c:pt>
              </c:strCache>
            </c:strRef>
          </c:cat>
          <c:val>
            <c:numRef>
              <c:f>Sheet2!$B$11:$B$14</c:f>
              <c:numCache>
                <c:formatCode>_-* #,##0.00\ [$zł-415]_-;\-* #,##0.00\ [$zł-415]_-;_-* "-"??\ [$zł-415]_-;_-@_-</c:formatCode>
                <c:ptCount val="4"/>
                <c:pt idx="0">
                  <c:v>230</c:v>
                </c:pt>
                <c:pt idx="1">
                  <c:v>200</c:v>
                </c:pt>
                <c:pt idx="2">
                  <c:v>1500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4-4D58-804C-87A4493B053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574945931920957"/>
          <c:y val="0.83918978388154541"/>
          <c:w val="0.64868402599223973"/>
          <c:h val="0.14377082964370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6270727132473163"/>
          <c:y val="0.2023868902951298"/>
          <c:w val="0.28307517583720709"/>
          <c:h val="0.56027490054072515"/>
        </c:manualLayout>
      </c:layout>
      <c:doughnut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F5-44E8-8639-B5CB02E2AF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8B-46D7-8F24-7909583D66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8B-46D7-8F24-7909583D66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8B-46D7-8F24-7909583D66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8B-46D7-8F24-7909583D66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8B-46D7-8F24-7909583D66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Sheet2!$F$11:$F$16</c:f>
              <c:strCache>
                <c:ptCount val="6"/>
                <c:pt idx="0">
                  <c:v>Accomodation</c:v>
                </c:pt>
                <c:pt idx="1">
                  <c:v>Education</c:v>
                </c:pt>
                <c:pt idx="2">
                  <c:v>Entertainment</c:v>
                </c:pt>
                <c:pt idx="3">
                  <c:v>Groceries</c:v>
                </c:pt>
                <c:pt idx="4">
                  <c:v>Transportation</c:v>
                </c:pt>
                <c:pt idx="5">
                  <c:v>Health&amp;Beaty</c:v>
                </c:pt>
              </c:strCache>
            </c:strRef>
          </c:cat>
          <c:val>
            <c:numRef>
              <c:f>Sheet2!$G$11:$G$16</c:f>
              <c:numCache>
                <c:formatCode>_-* #,##0.00\ [$zł-415]_-;\-* #,##0.00\ [$zł-415]_-;_-* "-"??\ [$zł-415]_-;_-@_-</c:formatCode>
                <c:ptCount val="6"/>
                <c:pt idx="0">
                  <c:v>529</c:v>
                </c:pt>
                <c:pt idx="1">
                  <c:v>440</c:v>
                </c:pt>
                <c:pt idx="2">
                  <c:v>150</c:v>
                </c:pt>
                <c:pt idx="3">
                  <c:v>300</c:v>
                </c:pt>
                <c:pt idx="4">
                  <c:v>100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5-44E8-8639-B5CB02E2AF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803526236208092E-2"/>
          <c:y val="0.72905666168763905"/>
          <c:w val="0.81180331770001879"/>
          <c:h val="0.27094333831236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0</xdr:row>
      <xdr:rowOff>0</xdr:rowOff>
    </xdr:from>
    <xdr:to>
      <xdr:col>7</xdr:col>
      <xdr:colOff>428625</xdr:colOff>
      <xdr:row>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56605-E785-C1C6-FECE-34ABE4AD4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0</xdr:row>
      <xdr:rowOff>0</xdr:rowOff>
    </xdr:from>
    <xdr:to>
      <xdr:col>13</xdr:col>
      <xdr:colOff>190500</xdr:colOff>
      <xdr:row>7</xdr:row>
      <xdr:rowOff>157164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EC55DA-CA8D-79D7-247E-603FA5C8C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224117</xdr:colOff>
      <xdr:row>0</xdr:row>
      <xdr:rowOff>1120</xdr:rowOff>
    </xdr:from>
    <xdr:to>
      <xdr:col>18</xdr:col>
      <xdr:colOff>168089</xdr:colOff>
      <xdr:row>7</xdr:row>
      <xdr:rowOff>179294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33CED8-3F5B-24F7-04EB-BFD8DBC30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5B4D-1A70-4E50-828E-C4DC9C765B67}">
  <dimension ref="A1:G6"/>
  <sheetViews>
    <sheetView workbookViewId="0">
      <selection activeCell="C28" sqref="C28"/>
    </sheetView>
  </sheetViews>
  <sheetFormatPr defaultRowHeight="15" x14ac:dyDescent="0.25"/>
  <cols>
    <col min="1" max="1" width="18.85546875" customWidth="1"/>
    <col min="2" max="2" width="17.7109375" customWidth="1"/>
    <col min="4" max="4" width="15.7109375" customWidth="1"/>
  </cols>
  <sheetData>
    <row r="1" spans="1:7" x14ac:dyDescent="0.25">
      <c r="A1" s="23" t="s">
        <v>2</v>
      </c>
      <c r="B1" s="23"/>
      <c r="D1" s="24" t="s">
        <v>10</v>
      </c>
      <c r="E1" s="24"/>
      <c r="F1" s="24"/>
      <c r="G1" s="24"/>
    </row>
    <row r="2" spans="1:7" x14ac:dyDescent="0.25">
      <c r="A2" s="2" t="s">
        <v>1</v>
      </c>
      <c r="B2" s="2" t="s">
        <v>3</v>
      </c>
      <c r="D2" s="24" t="s">
        <v>7</v>
      </c>
      <c r="E2" s="24"/>
      <c r="F2" s="24" t="s">
        <v>8</v>
      </c>
      <c r="G2" s="24"/>
    </row>
    <row r="3" spans="1:7" x14ac:dyDescent="0.25">
      <c r="A3" s="1" t="s">
        <v>14</v>
      </c>
      <c r="B3" s="3">
        <v>500</v>
      </c>
      <c r="D3" s="1" t="s">
        <v>11</v>
      </c>
      <c r="E3" s="3">
        <v>350</v>
      </c>
      <c r="F3" s="1"/>
      <c r="G3" s="1"/>
    </row>
    <row r="4" spans="1:7" x14ac:dyDescent="0.25">
      <c r="A4" s="1" t="s">
        <v>4</v>
      </c>
      <c r="B4" s="3">
        <v>400</v>
      </c>
      <c r="D4" s="1" t="s">
        <v>12</v>
      </c>
      <c r="E4" s="3">
        <v>150</v>
      </c>
      <c r="F4" s="1"/>
      <c r="G4" s="1"/>
    </row>
    <row r="5" spans="1:7" x14ac:dyDescent="0.25">
      <c r="A5" s="1" t="s">
        <v>5</v>
      </c>
      <c r="B5" s="3">
        <v>200</v>
      </c>
      <c r="D5" s="1" t="s">
        <v>13</v>
      </c>
      <c r="E5" s="3">
        <v>50</v>
      </c>
      <c r="F5" s="1"/>
      <c r="G5" s="1"/>
    </row>
    <row r="6" spans="1:7" x14ac:dyDescent="0.25">
      <c r="A6" s="2" t="s">
        <v>6</v>
      </c>
      <c r="B6" s="4">
        <f>SUM(B3:B5)</f>
        <v>1100</v>
      </c>
      <c r="D6" s="1" t="s">
        <v>6</v>
      </c>
      <c r="E6" s="3">
        <f>SUM(E3:E5)</f>
        <v>550</v>
      </c>
      <c r="F6" s="1"/>
      <c r="G6" s="1"/>
    </row>
  </sheetData>
  <mergeCells count="4">
    <mergeCell ref="A1:B1"/>
    <mergeCell ref="D2:E2"/>
    <mergeCell ref="D1:G1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4AD7-A049-4019-A9AC-57E1AC3DEAE9}">
  <dimension ref="A1:V23"/>
  <sheetViews>
    <sheetView tabSelected="1" zoomScale="115" zoomScaleNormal="115" workbookViewId="0">
      <selection activeCell="U11" sqref="U11:V23"/>
    </sheetView>
  </sheetViews>
  <sheetFormatPr defaultRowHeight="15" x14ac:dyDescent="0.25"/>
  <cols>
    <col min="1" max="1" width="11.42578125" customWidth="1"/>
    <col min="2" max="2" width="12" bestFit="1" customWidth="1"/>
    <col min="3" max="3" width="9.28515625" bestFit="1" customWidth="1"/>
    <col min="4" max="4" width="12" bestFit="1" customWidth="1"/>
    <col min="5" max="5" width="18" customWidth="1"/>
    <col min="6" max="6" width="10.85546875" customWidth="1"/>
    <col min="7" max="7" width="12" bestFit="1" customWidth="1"/>
    <col min="8" max="8" width="9.28515625" bestFit="1" customWidth="1"/>
    <col min="9" max="9" width="14.5703125" customWidth="1"/>
    <col min="10" max="10" width="10.7109375" bestFit="1" customWidth="1"/>
    <col min="12" max="12" width="10.28515625" bestFit="1" customWidth="1"/>
    <col min="13" max="13" width="9.28515625" bestFit="1" customWidth="1"/>
    <col min="15" max="15" width="9.85546875" bestFit="1" customWidth="1"/>
    <col min="19" max="19" width="26.5703125" customWidth="1"/>
    <col min="21" max="21" width="10.28515625" bestFit="1" customWidth="1"/>
    <col min="22" max="22" width="9.28515625" bestFit="1" customWidth="1"/>
  </cols>
  <sheetData>
    <row r="1" spans="1:22" x14ac:dyDescent="0.25">
      <c r="A1" s="25" t="s">
        <v>50</v>
      </c>
      <c r="B1" s="26"/>
      <c r="C1" s="26"/>
      <c r="D1" s="27"/>
    </row>
    <row r="2" spans="1:22" x14ac:dyDescent="0.25">
      <c r="A2" s="37">
        <v>11</v>
      </c>
      <c r="B2" s="38"/>
      <c r="C2" s="38"/>
      <c r="D2" s="39"/>
    </row>
    <row r="3" spans="1:22" x14ac:dyDescent="0.25">
      <c r="A3" s="1"/>
      <c r="B3" s="11" t="s">
        <v>15</v>
      </c>
      <c r="C3" s="11" t="s">
        <v>16</v>
      </c>
      <c r="D3" s="11" t="s">
        <v>53</v>
      </c>
    </row>
    <row r="4" spans="1:22" x14ac:dyDescent="0.25">
      <c r="A4" s="11" t="s">
        <v>0</v>
      </c>
      <c r="B4" s="40">
        <f>B23</f>
        <v>2030</v>
      </c>
      <c r="C4" s="40">
        <f>C23</f>
        <v>0</v>
      </c>
      <c r="D4" s="40">
        <f>B4-C4</f>
        <v>2030</v>
      </c>
    </row>
    <row r="5" spans="1:22" x14ac:dyDescent="0.25">
      <c r="A5" s="11" t="s">
        <v>51</v>
      </c>
      <c r="B5" s="40">
        <f>G23</f>
        <v>1610</v>
      </c>
      <c r="C5" s="40">
        <f>H23</f>
        <v>0</v>
      </c>
      <c r="D5" s="40">
        <f t="shared" ref="D5:D6" si="0">B5-C5</f>
        <v>1610</v>
      </c>
    </row>
    <row r="6" spans="1:22" x14ac:dyDescent="0.25">
      <c r="A6" s="11" t="s">
        <v>9</v>
      </c>
      <c r="B6" s="40">
        <f>U23</f>
        <v>300</v>
      </c>
      <c r="C6" s="40">
        <f>V23</f>
        <v>0</v>
      </c>
      <c r="D6" s="40">
        <f t="shared" si="0"/>
        <v>300</v>
      </c>
    </row>
    <row r="7" spans="1:22" x14ac:dyDescent="0.25">
      <c r="A7" s="11" t="s">
        <v>52</v>
      </c>
      <c r="B7" s="40">
        <f>B4-B5-B6</f>
        <v>120</v>
      </c>
      <c r="C7" s="40"/>
      <c r="D7" s="40">
        <f>D4-D5-D6</f>
        <v>120</v>
      </c>
    </row>
    <row r="9" spans="1:22" x14ac:dyDescent="0.25">
      <c r="A9" s="31" t="s">
        <v>0</v>
      </c>
      <c r="B9" s="32"/>
      <c r="C9" s="32"/>
      <c r="D9" s="33"/>
      <c r="F9" s="25" t="s">
        <v>22</v>
      </c>
      <c r="G9" s="26"/>
      <c r="H9" s="27"/>
      <c r="J9" s="28" t="s">
        <v>25</v>
      </c>
      <c r="K9" s="29"/>
      <c r="L9" s="29"/>
      <c r="M9" s="30"/>
      <c r="O9" s="25" t="s">
        <v>31</v>
      </c>
      <c r="P9" s="26"/>
      <c r="Q9" s="26"/>
      <c r="R9" s="27"/>
      <c r="T9" s="34" t="s">
        <v>9</v>
      </c>
      <c r="U9" s="35"/>
      <c r="V9" s="36"/>
    </row>
    <row r="10" spans="1:22" x14ac:dyDescent="0.25">
      <c r="A10" s="14" t="s">
        <v>1</v>
      </c>
      <c r="B10" s="14" t="s">
        <v>15</v>
      </c>
      <c r="C10" s="14" t="s">
        <v>16</v>
      </c>
      <c r="D10" s="14" t="s">
        <v>53</v>
      </c>
      <c r="F10" s="15" t="s">
        <v>23</v>
      </c>
      <c r="G10" s="15" t="s">
        <v>15</v>
      </c>
      <c r="H10" s="15" t="s">
        <v>16</v>
      </c>
      <c r="J10" s="16"/>
      <c r="K10" s="16" t="s">
        <v>26</v>
      </c>
      <c r="L10" s="16" t="s">
        <v>15</v>
      </c>
      <c r="M10" s="16" t="s">
        <v>16</v>
      </c>
      <c r="O10" s="15"/>
      <c r="P10" s="15" t="s">
        <v>26</v>
      </c>
      <c r="Q10" s="15" t="s">
        <v>15</v>
      </c>
      <c r="R10" s="15" t="s">
        <v>16</v>
      </c>
      <c r="T10" s="17" t="s">
        <v>46</v>
      </c>
      <c r="U10" s="17" t="s">
        <v>15</v>
      </c>
      <c r="V10" s="17" t="s">
        <v>16</v>
      </c>
    </row>
    <row r="11" spans="1:22" x14ac:dyDescent="0.25">
      <c r="A11" s="2" t="s">
        <v>14</v>
      </c>
      <c r="B11" s="41">
        <v>230</v>
      </c>
      <c r="C11" s="41"/>
      <c r="D11" s="18"/>
      <c r="F11" s="5" t="s">
        <v>24</v>
      </c>
      <c r="G11" s="43">
        <v>529</v>
      </c>
      <c r="H11" s="43"/>
      <c r="J11" s="6" t="s">
        <v>11</v>
      </c>
      <c r="K11" s="21">
        <f>DATE(2025,$C$1,10)</f>
        <v>45636</v>
      </c>
      <c r="L11" s="45">
        <v>400</v>
      </c>
      <c r="M11" s="45"/>
      <c r="O11" s="7" t="s">
        <v>32</v>
      </c>
      <c r="P11" s="22">
        <f ca="1">DATE(2025,$C$1,RANDBETWEEN(1,28))</f>
        <v>45643</v>
      </c>
      <c r="Q11" s="40">
        <v>10</v>
      </c>
      <c r="R11" s="40"/>
      <c r="T11" s="9" t="s">
        <v>47</v>
      </c>
      <c r="U11" s="47">
        <v>80</v>
      </c>
      <c r="V11" s="47"/>
    </row>
    <row r="12" spans="1:22" x14ac:dyDescent="0.25">
      <c r="A12" s="2" t="s">
        <v>17</v>
      </c>
      <c r="B12" s="41">
        <v>200</v>
      </c>
      <c r="C12" s="41"/>
      <c r="D12" s="18"/>
      <c r="F12" s="5" t="s">
        <v>28</v>
      </c>
      <c r="G12" s="43">
        <v>440</v>
      </c>
      <c r="H12" s="43"/>
      <c r="J12" s="6" t="s">
        <v>27</v>
      </c>
      <c r="K12" s="21">
        <f t="shared" ref="K12:K17" si="1">DATE(2025,$C$1,10)</f>
        <v>45636</v>
      </c>
      <c r="L12" s="45">
        <v>12</v>
      </c>
      <c r="M12" s="45"/>
      <c r="O12" s="7" t="s">
        <v>33</v>
      </c>
      <c r="P12" s="22">
        <f t="shared" ref="P12:P14" ca="1" si="2">DATE(2025,$C$1,RANDBETWEEN(1,28))</f>
        <v>45632</v>
      </c>
      <c r="Q12" s="40">
        <v>2.5</v>
      </c>
      <c r="R12" s="40"/>
      <c r="T12" s="9" t="s">
        <v>48</v>
      </c>
      <c r="U12" s="47">
        <v>80</v>
      </c>
      <c r="V12" s="47"/>
    </row>
    <row r="13" spans="1:22" x14ac:dyDescent="0.25">
      <c r="A13" s="2" t="s">
        <v>18</v>
      </c>
      <c r="B13" s="41">
        <v>1500</v>
      </c>
      <c r="C13" s="41"/>
      <c r="D13" s="18"/>
      <c r="F13" s="5" t="s">
        <v>30</v>
      </c>
      <c r="G13" s="43">
        <v>150</v>
      </c>
      <c r="H13" s="43"/>
      <c r="J13" s="6" t="s">
        <v>29</v>
      </c>
      <c r="K13" s="21">
        <f t="shared" si="1"/>
        <v>45636</v>
      </c>
      <c r="L13" s="45">
        <v>10</v>
      </c>
      <c r="M13" s="45"/>
      <c r="O13" s="7" t="s">
        <v>34</v>
      </c>
      <c r="P13" s="22">
        <f t="shared" ca="1" si="2"/>
        <v>45648</v>
      </c>
      <c r="Q13" s="40">
        <v>8</v>
      </c>
      <c r="R13" s="40"/>
      <c r="T13" s="20" t="s">
        <v>42</v>
      </c>
      <c r="U13" s="47">
        <v>100</v>
      </c>
      <c r="V13" s="47"/>
    </row>
    <row r="14" spans="1:22" x14ac:dyDescent="0.25">
      <c r="A14" s="2" t="s">
        <v>19</v>
      </c>
      <c r="B14" s="41">
        <v>100</v>
      </c>
      <c r="C14" s="41"/>
      <c r="D14" s="18"/>
      <c r="F14" s="5" t="s">
        <v>12</v>
      </c>
      <c r="G14" s="43">
        <v>300</v>
      </c>
      <c r="H14" s="43"/>
      <c r="J14" s="6" t="s">
        <v>35</v>
      </c>
      <c r="K14" s="21">
        <f t="shared" si="1"/>
        <v>45636</v>
      </c>
      <c r="L14" s="45">
        <v>20</v>
      </c>
      <c r="M14" s="45"/>
      <c r="O14" s="7" t="s">
        <v>39</v>
      </c>
      <c r="P14" s="22">
        <f t="shared" ca="1" si="2"/>
        <v>45642</v>
      </c>
      <c r="Q14" s="40">
        <v>1</v>
      </c>
      <c r="R14" s="40"/>
      <c r="T14" s="20" t="s">
        <v>43</v>
      </c>
      <c r="U14" s="47">
        <v>30</v>
      </c>
      <c r="V14" s="47"/>
    </row>
    <row r="15" spans="1:22" x14ac:dyDescent="0.25">
      <c r="A15" s="2" t="s">
        <v>20</v>
      </c>
      <c r="B15" s="41"/>
      <c r="C15" s="41"/>
      <c r="D15" s="18"/>
      <c r="F15" s="5" t="s">
        <v>40</v>
      </c>
      <c r="G15" s="43">
        <v>100</v>
      </c>
      <c r="H15" s="43"/>
      <c r="J15" s="6" t="s">
        <v>36</v>
      </c>
      <c r="K15" s="21">
        <f t="shared" si="1"/>
        <v>45636</v>
      </c>
      <c r="L15" s="45">
        <v>45</v>
      </c>
      <c r="M15" s="45"/>
      <c r="O15" s="7"/>
      <c r="P15" s="7"/>
      <c r="Q15" s="40"/>
      <c r="R15" s="40"/>
      <c r="T15" s="9" t="s">
        <v>49</v>
      </c>
      <c r="U15" s="47">
        <v>10</v>
      </c>
      <c r="V15" s="47"/>
    </row>
    <row r="16" spans="1:22" x14ac:dyDescent="0.25">
      <c r="A16" s="2" t="s">
        <v>21</v>
      </c>
      <c r="B16" s="41"/>
      <c r="C16" s="41"/>
      <c r="D16" s="18"/>
      <c r="F16" s="5" t="s">
        <v>41</v>
      </c>
      <c r="G16" s="43">
        <v>50</v>
      </c>
      <c r="H16" s="43"/>
      <c r="J16" s="6" t="s">
        <v>37</v>
      </c>
      <c r="K16" s="21">
        <f t="shared" si="1"/>
        <v>45636</v>
      </c>
      <c r="L16" s="45">
        <v>35</v>
      </c>
      <c r="M16" s="45"/>
      <c r="O16" s="7"/>
      <c r="P16" s="7"/>
      <c r="Q16" s="40"/>
      <c r="R16" s="40"/>
      <c r="T16" s="8"/>
      <c r="U16" s="47"/>
      <c r="V16" s="47"/>
    </row>
    <row r="17" spans="1:22" x14ac:dyDescent="0.25">
      <c r="A17" s="2"/>
      <c r="B17" s="41"/>
      <c r="C17" s="41"/>
      <c r="D17" s="18"/>
      <c r="F17" s="5"/>
      <c r="G17" s="43"/>
      <c r="H17" s="43"/>
      <c r="J17" s="6" t="s">
        <v>38</v>
      </c>
      <c r="K17" s="21">
        <f t="shared" si="1"/>
        <v>45636</v>
      </c>
      <c r="L17" s="45">
        <v>7</v>
      </c>
      <c r="M17" s="45"/>
      <c r="O17" s="7"/>
      <c r="P17" s="7"/>
      <c r="Q17" s="40"/>
      <c r="R17" s="40"/>
      <c r="T17" s="8"/>
      <c r="U17" s="47"/>
      <c r="V17" s="47"/>
    </row>
    <row r="18" spans="1:22" x14ac:dyDescent="0.25">
      <c r="A18" s="2"/>
      <c r="B18" s="41"/>
      <c r="C18" s="41"/>
      <c r="D18" s="18"/>
      <c r="F18" s="5"/>
      <c r="G18" s="43"/>
      <c r="H18" s="43"/>
      <c r="J18" s="6"/>
      <c r="K18" s="6"/>
      <c r="L18" s="45"/>
      <c r="M18" s="45"/>
      <c r="O18" s="7"/>
      <c r="P18" s="7"/>
      <c r="Q18" s="40"/>
      <c r="R18" s="40"/>
      <c r="T18" s="8"/>
      <c r="U18" s="47"/>
      <c r="V18" s="47"/>
    </row>
    <row r="19" spans="1:22" x14ac:dyDescent="0.25">
      <c r="A19" s="2"/>
      <c r="B19" s="41"/>
      <c r="C19" s="41"/>
      <c r="D19" s="18"/>
      <c r="F19" s="5" t="s">
        <v>44</v>
      </c>
      <c r="G19" s="43">
        <v>20</v>
      </c>
      <c r="H19" s="43"/>
      <c r="J19" s="6"/>
      <c r="K19" s="6"/>
      <c r="L19" s="45"/>
      <c r="M19" s="45"/>
      <c r="O19" s="7"/>
      <c r="P19" s="7"/>
      <c r="Q19" s="40"/>
      <c r="R19" s="40"/>
      <c r="T19" s="8"/>
      <c r="U19" s="47"/>
      <c r="V19" s="47"/>
    </row>
    <row r="20" spans="1:22" x14ac:dyDescent="0.25">
      <c r="A20" s="2"/>
      <c r="B20" s="41"/>
      <c r="C20" s="41"/>
      <c r="D20" s="18"/>
      <c r="F20" s="5" t="s">
        <v>21</v>
      </c>
      <c r="G20" s="43">
        <v>21</v>
      </c>
      <c r="H20" s="43"/>
      <c r="J20" s="6"/>
      <c r="K20" s="6"/>
      <c r="L20" s="45"/>
      <c r="M20" s="45"/>
      <c r="O20" s="7"/>
      <c r="P20" s="7"/>
      <c r="Q20" s="40"/>
      <c r="R20" s="40"/>
      <c r="T20" s="8"/>
      <c r="U20" s="47"/>
      <c r="V20" s="47"/>
    </row>
    <row r="21" spans="1:22" x14ac:dyDescent="0.25">
      <c r="A21" s="2"/>
      <c r="B21" s="41"/>
      <c r="C21" s="41"/>
      <c r="D21" s="18"/>
      <c r="F21" s="5"/>
      <c r="G21" s="43"/>
      <c r="H21" s="43"/>
      <c r="J21" s="6"/>
      <c r="K21" s="6"/>
      <c r="L21" s="45"/>
      <c r="M21" s="45"/>
      <c r="O21" s="7"/>
      <c r="P21" s="7"/>
      <c r="Q21" s="40"/>
      <c r="R21" s="40"/>
      <c r="T21" s="8"/>
      <c r="U21" s="47"/>
      <c r="V21" s="47"/>
    </row>
    <row r="22" spans="1:22" x14ac:dyDescent="0.25">
      <c r="A22" s="2"/>
      <c r="B22" s="41"/>
      <c r="C22" s="41"/>
      <c r="D22" s="18"/>
      <c r="F22" s="5"/>
      <c r="G22" s="43"/>
      <c r="H22" s="43"/>
      <c r="J22" s="6"/>
      <c r="K22" s="6"/>
      <c r="L22" s="45"/>
      <c r="M22" s="45"/>
      <c r="O22" s="7"/>
      <c r="P22" s="7"/>
      <c r="Q22" s="40"/>
      <c r="R22" s="40"/>
      <c r="T22" s="8"/>
      <c r="U22" s="47"/>
      <c r="V22" s="47"/>
    </row>
    <row r="23" spans="1:22" x14ac:dyDescent="0.25">
      <c r="A23" s="10" t="s">
        <v>45</v>
      </c>
      <c r="B23" s="42">
        <f>SUM(B11:B22)</f>
        <v>2030</v>
      </c>
      <c r="C23" s="42">
        <f>SUM(C11:C22)</f>
        <v>0</v>
      </c>
      <c r="D23" s="19"/>
      <c r="F23" s="11" t="s">
        <v>45</v>
      </c>
      <c r="G23" s="44">
        <f>SUM(G11:G22)</f>
        <v>1610</v>
      </c>
      <c r="H23" s="44">
        <f>SUM(H11:H22)</f>
        <v>0</v>
      </c>
      <c r="J23" s="12" t="s">
        <v>45</v>
      </c>
      <c r="K23" s="12"/>
      <c r="L23" s="46">
        <f>SUM(L11:L22)</f>
        <v>529</v>
      </c>
      <c r="M23" s="46">
        <f>SUM(M11:M22)</f>
        <v>0</v>
      </c>
      <c r="O23" s="11" t="s">
        <v>45</v>
      </c>
      <c r="P23" s="11"/>
      <c r="Q23" s="44">
        <f>SUM(Q11:Q22)</f>
        <v>21.5</v>
      </c>
      <c r="R23" s="44">
        <f>SUM(R11:R22)</f>
        <v>0</v>
      </c>
      <c r="T23" s="13" t="s">
        <v>45</v>
      </c>
      <c r="U23" s="48">
        <f>SUM(U11:U22)</f>
        <v>300</v>
      </c>
      <c r="V23" s="48">
        <f>SUM(V11:V22)</f>
        <v>0</v>
      </c>
    </row>
  </sheetData>
  <mergeCells count="7">
    <mergeCell ref="A1:D1"/>
    <mergeCell ref="A2:D2"/>
    <mergeCell ref="A9:D9"/>
    <mergeCell ref="F9:H9"/>
    <mergeCell ref="J9:M9"/>
    <mergeCell ref="O9:R9"/>
    <mergeCell ref="T9:V9"/>
  </mergeCells>
  <conditionalFormatting sqref="B7:D7">
    <cfRule type="cellIs" dxfId="1" priority="2" operator="lessThan">
      <formula>0</formula>
    </cfRule>
  </conditionalFormatting>
  <conditionalFormatting sqref="K11:K22">
    <cfRule type="cellIs" dxfId="0" priority="1" operator="lessThan">
      <formula>45636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en-A013-15</dc:creator>
  <cp:lastModifiedBy>en-A013-19</cp:lastModifiedBy>
  <dcterms:created xsi:type="dcterms:W3CDTF">2025-10-29T14:10:59Z</dcterms:created>
  <dcterms:modified xsi:type="dcterms:W3CDTF">2025-12-10T14:26:30Z</dcterms:modified>
</cp:coreProperties>
</file>