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i\Desktop\Data processing\"/>
    </mc:Choice>
  </mc:AlternateContent>
  <xr:revisionPtr revIDLastSave="0" documentId="13_ncr:1_{6DAF4580-B30F-4FA4-A2A8-1A6917678AE2}" xr6:coauthVersionLast="47" xr6:coauthVersionMax="47" xr10:uidLastSave="{00000000-0000-0000-0000-000000000000}"/>
  <bookViews>
    <workbookView xWindow="-108" yWindow="-108" windowWidth="23256" windowHeight="12456" activeTab="1" xr2:uid="{D69F50E6-86D5-4449-9E68-09B84A0FC2AA}"/>
  </bookViews>
  <sheets>
    <sheet name="Sheet1" sheetId="1" r:id="rId1"/>
    <sheet name="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6" i="2"/>
  <c r="C12" i="2"/>
  <c r="C14" i="2"/>
  <c r="C15" i="2"/>
  <c r="C11" i="2" l="1"/>
  <c r="D11" i="2" s="1"/>
  <c r="D12" i="2"/>
  <c r="D13" i="2"/>
  <c r="D14" i="2"/>
  <c r="D15" i="2"/>
  <c r="D16" i="2"/>
  <c r="A2" i="2" l="1" a="1"/>
  <c r="A2" i="2" s="1"/>
  <c r="L15" i="2" s="1"/>
  <c r="L11" i="2" a="1"/>
  <c r="L11" i="2" s="1"/>
  <c r="D6" i="2"/>
  <c r="D5" i="2"/>
  <c r="B7" i="2"/>
  <c r="I23" i="2"/>
  <c r="I12" i="2"/>
  <c r="I13" i="2"/>
  <c r="I14" i="2"/>
  <c r="I15" i="2"/>
  <c r="I16" i="2"/>
  <c r="I17" i="2"/>
  <c r="I18" i="2"/>
  <c r="I19" i="2"/>
  <c r="I11" i="2"/>
  <c r="L14" i="2" l="1"/>
  <c r="L17" i="2"/>
  <c r="L13" i="2"/>
  <c r="L16" i="2"/>
  <c r="L12" i="2"/>
  <c r="D23" i="2" l="1"/>
  <c r="Q12" i="2" l="1"/>
  <c r="Q13" i="2"/>
  <c r="Q14" i="2"/>
  <c r="Q11" i="2"/>
  <c r="W23" i="2"/>
  <c r="C6" i="2" s="1"/>
  <c r="V23" i="2"/>
  <c r="B6" i="2" s="1"/>
  <c r="S23" i="2"/>
  <c r="R23" i="2"/>
  <c r="N23" i="2"/>
  <c r="M23" i="2"/>
  <c r="H23" i="2"/>
  <c r="C5" i="2" s="1"/>
  <c r="C23" i="2"/>
  <c r="C4" i="2" s="1"/>
  <c r="G23" i="2"/>
  <c r="B5" i="2" s="1"/>
  <c r="B23" i="2"/>
  <c r="B4" i="2" s="1"/>
  <c r="E6" i="1"/>
  <c r="B6" i="1"/>
  <c r="D4" i="2" l="1"/>
  <c r="D7" i="2" s="1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<sst xmlns="http://schemas.openxmlformats.org/spreadsheetml/2006/main" count="81" uniqueCount="57">
  <si>
    <t>Income</t>
  </si>
  <si>
    <t>Source</t>
  </si>
  <si>
    <t>Montly Income</t>
  </si>
  <si>
    <t>Value</t>
  </si>
  <si>
    <t>Part-time job</t>
  </si>
  <si>
    <t>Parents' help</t>
  </si>
  <si>
    <t>Summary</t>
  </si>
  <si>
    <t>Essential</t>
  </si>
  <si>
    <t>Wants</t>
  </si>
  <si>
    <t>Savings</t>
  </si>
  <si>
    <t>Monthly expenses</t>
  </si>
  <si>
    <t>Rent</t>
  </si>
  <si>
    <t>Groceries</t>
  </si>
  <si>
    <t>Tutition/fees</t>
  </si>
  <si>
    <t>Scholarship</t>
  </si>
  <si>
    <t>Planned</t>
  </si>
  <si>
    <t>Actual</t>
  </si>
  <si>
    <t>Salary</t>
  </si>
  <si>
    <t>Allowance</t>
  </si>
  <si>
    <t>Expenses</t>
  </si>
  <si>
    <t>Category</t>
  </si>
  <si>
    <t>Accomodation</t>
  </si>
  <si>
    <t>Bills</t>
  </si>
  <si>
    <t>Due</t>
  </si>
  <si>
    <t>Internet</t>
  </si>
  <si>
    <t>Mobile phone</t>
  </si>
  <si>
    <t>Entertainment</t>
  </si>
  <si>
    <t>Subscription</t>
  </si>
  <si>
    <t>Netflix</t>
  </si>
  <si>
    <t>Spotify</t>
  </si>
  <si>
    <t>Audible</t>
  </si>
  <si>
    <t>Water</t>
  </si>
  <si>
    <t>Gas</t>
  </si>
  <si>
    <t>Electricity</t>
  </si>
  <si>
    <t>Waste</t>
  </si>
  <si>
    <t>iCloud</t>
  </si>
  <si>
    <t>Transportation</t>
  </si>
  <si>
    <t>Electronics</t>
  </si>
  <si>
    <t>Appliances</t>
  </si>
  <si>
    <t>Sum</t>
  </si>
  <si>
    <t>Aim</t>
  </si>
  <si>
    <t>Investments</t>
  </si>
  <si>
    <t>Travel</t>
  </si>
  <si>
    <t>Retirement</t>
  </si>
  <si>
    <t>Month</t>
  </si>
  <si>
    <t>Expences</t>
  </si>
  <si>
    <t>Balance</t>
  </si>
  <si>
    <t>Left</t>
  </si>
  <si>
    <t>Financial</t>
  </si>
  <si>
    <t>Gift</t>
  </si>
  <si>
    <t>Other incoms</t>
  </si>
  <si>
    <t>Clothing</t>
  </si>
  <si>
    <t>Health&amp;Beauty</t>
  </si>
  <si>
    <t>Multimedia</t>
  </si>
  <si>
    <t>Other expences</t>
  </si>
  <si>
    <t>Studies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</si>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</sst>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&quot;$&quot;#,##0.00"/>
    <numFmt numFmtId="166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2" borderId="1" xfId="1" applyBorder="1"/>
    <xf numFmtId="165" fontId="0" fillId="0" borderId="1" xfId="0" applyNumberFormat="1" applyBorder="1"/>
    <xf numFmtId="165" fontId="2" fillId="2" borderId="1" xfId="1" applyNumberFormat="1" applyBorder="1"/>
    <xf numFmtId="0" fontId="1" fillId="6" borderId="1" xfId="5" applyBorder="1"/>
    <xf numFmtId="0" fontId="1" fillId="9" borderId="1" xfId="8" applyBorder="1"/>
    <xf numFmtId="0" fontId="5" fillId="8" borderId="1" xfId="7" applyBorder="1"/>
    <xf numFmtId="14" fontId="1" fillId="6" borderId="1" xfId="5" applyNumberFormat="1" applyBorder="1"/>
    <xf numFmtId="14" fontId="1" fillId="9" borderId="1" xfId="8" applyNumberFormat="1" applyBorder="1"/>
    <xf numFmtId="166" fontId="1" fillId="9" borderId="1" xfId="8" applyNumberFormat="1" applyBorder="1"/>
    <xf numFmtId="166" fontId="2" fillId="2" borderId="1" xfId="1" applyNumberFormat="1" applyBorder="1"/>
    <xf numFmtId="166" fontId="3" fillId="3" borderId="1" xfId="2" applyNumberFormat="1" applyBorder="1"/>
    <xf numFmtId="166" fontId="1" fillId="6" borderId="1" xfId="5" applyNumberFormat="1" applyBorder="1"/>
    <xf numFmtId="166" fontId="1" fillId="12" borderId="1" xfId="11" applyNumberFormat="1" applyBorder="1"/>
    <xf numFmtId="0" fontId="2" fillId="2" borderId="5" xfId="1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5" fillId="8" borderId="2" xfId="7" applyBorder="1" applyAlignment="1">
      <alignment horizontal="center"/>
    </xf>
    <xf numFmtId="0" fontId="5" fillId="8" borderId="4" xfId="7" applyBorder="1" applyAlignment="1">
      <alignment horizontal="center"/>
    </xf>
    <xf numFmtId="0" fontId="5" fillId="8" borderId="3" xfId="7" applyBorder="1" applyAlignment="1">
      <alignment horizontal="center"/>
    </xf>
    <xf numFmtId="0" fontId="5" fillId="11" borderId="2" xfId="10" applyBorder="1" applyAlignment="1">
      <alignment horizontal="center"/>
    </xf>
    <xf numFmtId="0" fontId="5" fillId="11" borderId="4" xfId="10" applyBorder="1" applyAlignment="1">
      <alignment horizontal="center"/>
    </xf>
    <xf numFmtId="0" fontId="5" fillId="11" borderId="3" xfId="1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14" borderId="2" xfId="13" applyBorder="1" applyAlignment="1">
      <alignment horizontal="center"/>
    </xf>
    <xf numFmtId="0" fontId="5" fillId="14" borderId="4" xfId="13" applyBorder="1" applyAlignment="1">
      <alignment horizontal="center"/>
    </xf>
    <xf numFmtId="0" fontId="5" fillId="14" borderId="3" xfId="13" applyBorder="1" applyAlignment="1">
      <alignment horizontal="center"/>
    </xf>
    <xf numFmtId="0" fontId="5" fillId="5" borderId="2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3" xfId="4" applyBorder="1" applyAlignment="1">
      <alignment horizontal="center"/>
    </xf>
    <xf numFmtId="166" fontId="2" fillId="2" borderId="2" xfId="1" applyNumberFormat="1" applyBorder="1"/>
    <xf numFmtId="0" fontId="5" fillId="14" borderId="7" xfId="13" applyBorder="1"/>
    <xf numFmtId="166" fontId="5" fillId="14" borderId="7" xfId="13" applyNumberFormat="1" applyBorder="1"/>
    <xf numFmtId="166" fontId="5" fillId="14" borderId="8" xfId="15" applyNumberFormat="1" applyFont="1" applyFill="1" applyBorder="1"/>
    <xf numFmtId="0" fontId="1" fillId="15" borderId="11" xfId="14" applyBorder="1"/>
    <xf numFmtId="0" fontId="1" fillId="15" borderId="6" xfId="14" applyBorder="1"/>
    <xf numFmtId="0" fontId="3" fillId="3" borderId="3" xfId="2" applyBorder="1"/>
    <xf numFmtId="166" fontId="3" fillId="3" borderId="2" xfId="2" applyNumberFormat="1" applyBorder="1"/>
    <xf numFmtId="0" fontId="1" fillId="10" borderId="10" xfId="9" applyBorder="1"/>
    <xf numFmtId="0" fontId="1" fillId="10" borderId="11" xfId="9" applyBorder="1"/>
    <xf numFmtId="0" fontId="1" fillId="10" borderId="6" xfId="9" applyBorder="1"/>
    <xf numFmtId="0" fontId="5" fillId="8" borderId="9" xfId="7" applyBorder="1"/>
    <xf numFmtId="166" fontId="5" fillId="8" borderId="7" xfId="7" applyNumberFormat="1" applyBorder="1"/>
    <xf numFmtId="166" fontId="5" fillId="8" borderId="8" xfId="7" applyNumberFormat="1" applyBorder="1"/>
    <xf numFmtId="0" fontId="1" fillId="6" borderId="3" xfId="5" applyBorder="1"/>
    <xf numFmtId="166" fontId="1" fillId="6" borderId="2" xfId="5" applyNumberFormat="1" applyBorder="1"/>
    <xf numFmtId="0" fontId="1" fillId="7" borderId="10" xfId="6" applyBorder="1"/>
    <xf numFmtId="0" fontId="1" fillId="7" borderId="11" xfId="6" applyBorder="1"/>
    <xf numFmtId="0" fontId="1" fillId="7" borderId="6" xfId="6" applyBorder="1"/>
    <xf numFmtId="0" fontId="5" fillId="5" borderId="9" xfId="4" applyBorder="1"/>
    <xf numFmtId="0" fontId="5" fillId="5" borderId="7" xfId="4" applyBorder="1"/>
    <xf numFmtId="166" fontId="5" fillId="5" borderId="7" xfId="4" applyNumberFormat="1" applyBorder="1"/>
    <xf numFmtId="166" fontId="5" fillId="5" borderId="8" xfId="4" applyNumberFormat="1" applyBorder="1"/>
    <xf numFmtId="0" fontId="1" fillId="9" borderId="3" xfId="8" applyBorder="1"/>
    <xf numFmtId="166" fontId="1" fillId="9" borderId="2" xfId="8" applyNumberFormat="1" applyBorder="1"/>
    <xf numFmtId="0" fontId="5" fillId="8" borderId="7" xfId="7" applyBorder="1"/>
    <xf numFmtId="0" fontId="0" fillId="12" borderId="3" xfId="11" applyFont="1" applyBorder="1"/>
    <xf numFmtId="0" fontId="4" fillId="4" borderId="3" xfId="3" applyBorder="1"/>
    <xf numFmtId="0" fontId="1" fillId="12" borderId="3" xfId="11" applyBorder="1"/>
    <xf numFmtId="166" fontId="1" fillId="12" borderId="2" xfId="11" applyNumberFormat="1" applyBorder="1"/>
    <xf numFmtId="0" fontId="1" fillId="13" borderId="10" xfId="12" applyBorder="1"/>
    <xf numFmtId="0" fontId="1" fillId="13" borderId="11" xfId="12" applyBorder="1"/>
    <xf numFmtId="0" fontId="1" fillId="13" borderId="6" xfId="12" applyBorder="1"/>
    <xf numFmtId="0" fontId="5" fillId="11" borderId="9" xfId="10" applyBorder="1"/>
    <xf numFmtId="166" fontId="5" fillId="11" borderId="7" xfId="10" applyNumberFormat="1" applyBorder="1"/>
    <xf numFmtId="166" fontId="5" fillId="11" borderId="8" xfId="10" applyNumberFormat="1" applyBorder="1"/>
  </cellXfs>
  <cellStyles count="16">
    <cellStyle name="40% - Accent1" xfId="5" builtinId="31"/>
    <cellStyle name="40% - Accent2" xfId="8" builtinId="35"/>
    <cellStyle name="40% - Accent4" xfId="11" builtinId="43"/>
    <cellStyle name="60% - Accent1" xfId="6" builtinId="32"/>
    <cellStyle name="60% - Accent2" xfId="9" builtinId="36"/>
    <cellStyle name="60% - Accent4" xfId="12" builtinId="44"/>
    <cellStyle name="60% - Accent6" xfId="14" builtinId="52"/>
    <cellStyle name="Accent1" xfId="4" builtinId="29"/>
    <cellStyle name="Accent2" xfId="7" builtinId="33"/>
    <cellStyle name="Accent4" xfId="10" builtinId="41"/>
    <cellStyle name="Accent6" xfId="13" builtinId="49"/>
    <cellStyle name="Bad" xfId="2" builtinId="27"/>
    <cellStyle name="Currency" xfId="15" builtinId="4"/>
    <cellStyle name="Good" xfId="1" builtinId="26"/>
    <cellStyle name="Neutral" xfId="3" builtinId="28"/>
    <cellStyle name="Normal" xfId="0" builtinId="0"/>
  </cellStyles>
  <dxfs count="39"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BlackStyle" pivot="0" count="0" xr9:uid="{0237CDB4-EF85-45DF-A00D-38F65D0D8F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'1'!$B$4:$B$6</c:f>
              <c:numCache>
                <c:formatCode>_-* #\ ##0.00\ [$zł-415]_-;\-* #\ ##0.00\ [$zł-415]_-;_-* "-"??\ [$zł-415]_-;_-@_-</c:formatCode>
                <c:ptCount val="3"/>
                <c:pt idx="0">
                  <c:v>5700</c:v>
                </c:pt>
                <c:pt idx="1">
                  <c:v>3800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6-4E00-8B32-BFB95CD31A8D}"/>
            </c:ext>
          </c:extLst>
        </c:ser>
        <c:ser>
          <c:idx val="1"/>
          <c:order val="1"/>
          <c:tx>
            <c:strRef>
              <c:f>'1'!$C$3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'1'!$C$4:$C$6</c:f>
              <c:numCache>
                <c:formatCode>_-* #\ ##0.00\ [$zł-415]_-;\-* #\ ##0.00\ [$zł-415]_-;_-* "-"??\ [$zł-415]_-;_-@_-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6-4E00-8B32-BFB95CD3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10848"/>
        <c:axId val="1311712768"/>
      </c:barChart>
      <c:catAx>
        <c:axId val="13117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2768"/>
        <c:crosses val="autoZero"/>
        <c:auto val="1"/>
        <c:lblAlgn val="ctr"/>
        <c:lblOffset val="100"/>
        <c:noMultiLvlLbl val="0"/>
      </c:catAx>
      <c:valAx>
        <c:axId val="13117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zł-415]_-;\-* #\ 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structure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0383757121784"/>
          <c:y val="0.18202827733144425"/>
          <c:w val="0.27582160381017456"/>
          <c:h val="0.688892332544423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E-4338-9B90-E4CA16C7EE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9E-4338-9B90-E4CA16C7EE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9E-4338-9B90-E4CA16C7EE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E-4338-9B90-E4CA16C7E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'1'!$A$11:$A$14</c:f>
              <c:strCache>
                <c:ptCount val="4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</c:strCache>
            </c:strRef>
          </c:cat>
          <c:val>
            <c:numRef>
              <c:f>'1'!$B$11:$B$14</c:f>
              <c:numCache>
                <c:formatCode>_-* #\ ##0.00\ [$zł-415]_-;\-* #\ ##0.00\ [$zł-415]_-;_-* "-"??\ [$zł-415]_-;_-@_-</c:formatCode>
                <c:ptCount val="4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D58-804C-87A4493B05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74945931920957"/>
          <c:y val="0.83918978388154541"/>
          <c:w val="0.64868402599223973"/>
          <c:h val="0.14377082964370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270727132473163"/>
          <c:y val="0.2023868902951298"/>
          <c:w val="0.28307517583720709"/>
          <c:h val="0.56027490054072515"/>
        </c:manualLayout>
      </c:layout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5-44E8-8639-B5CB02E2A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B-46D7-8F24-7909583D66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B-46D7-8F24-7909583D66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8B-46D7-8F24-7909583D66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8B-46D7-8F24-7909583D66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8B-46D7-8F24-7909583D66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'1'!$F$11:$F$16</c:f>
              <c:strCache>
                <c:ptCount val="6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</c:strCache>
            </c:strRef>
          </c:cat>
          <c:val>
            <c:numRef>
              <c:f>'1'!$G$11:$G$16</c:f>
              <c:numCache>
                <c:formatCode>_-* #\ ##0.00\ [$zł-415]_-;\-* #\ ##0.00\ [$zł-415]_-;_-* "-"??\ [$zł-415]_-;_-@_-</c:formatCode>
                <c:ptCount val="6"/>
                <c:pt idx="0">
                  <c:v>1740</c:v>
                </c:pt>
                <c:pt idx="1">
                  <c:v>300</c:v>
                </c:pt>
                <c:pt idx="2">
                  <c:v>200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5-44E8-8639-B5CB02E2A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03526236208092E-2"/>
          <c:y val="0.72905666168763905"/>
          <c:w val="0.81180331770001879"/>
          <c:h val="0.27094333831236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0</xdr:row>
      <xdr:rowOff>0</xdr:rowOff>
    </xdr:from>
    <xdr:to>
      <xdr:col>7</xdr:col>
      <xdr:colOff>428625</xdr:colOff>
      <xdr:row>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56605-E785-C1C6-FECE-34ABE4AD4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0</xdr:row>
      <xdr:rowOff>0</xdr:rowOff>
    </xdr:from>
    <xdr:to>
      <xdr:col>13</xdr:col>
      <xdr:colOff>190500</xdr:colOff>
      <xdr:row>7</xdr:row>
      <xdr:rowOff>157164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EC55DA-CA8D-79D7-247E-603FA5C8C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224117</xdr:colOff>
      <xdr:row>0</xdr:row>
      <xdr:rowOff>1120</xdr:rowOff>
    </xdr:from>
    <xdr:to>
      <xdr:col>18</xdr:col>
      <xdr:colOff>168089</xdr:colOff>
      <xdr:row>7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33CED8-3F5B-24F7-04EB-BFD8DBC3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ksi\Desktop\Data%20processing\Finances.xlsx" TargetMode="External"/><Relationship Id="rId1" Type="http://schemas.openxmlformats.org/officeDocument/2006/relationships/externalLinkPath" Target="Fin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tionary"/>
      <sheetName val="operation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summary1"/>
      <sheetName val="summary2"/>
      <sheetName val="summar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1BD22-022C-48CB-BF5E-B1454349839B}" name="Income_1" displayName="Income_1" ref="A10:D23" totalsRowShown="0" headerRowDxfId="30" headerRowBorderDxfId="35" tableBorderDxfId="36" headerRowCellStyle="60% - Accent6">
  <autoFilter ref="A10:D23" xr:uid="{FEE1BD22-022C-48CB-BF5E-B1454349839B}"/>
  <tableColumns count="4">
    <tableColumn id="1" xr3:uid="{DB7FE886-F4DF-4BA2-A402-B73985134FAE}" name="Source" dataDxfId="34" dataCellStyle="Good"/>
    <tableColumn id="2" xr3:uid="{2CBB5DDA-3F9D-47B6-A9B8-18C49E542980}" name="Planned" dataDxfId="33" dataCellStyle="Good"/>
    <tableColumn id="3" xr3:uid="{5D02AD2D-800B-4766-8735-452A13DCDE43}" name="Actual" dataDxfId="32" dataCellStyle="Good"/>
    <tableColumn id="4" xr3:uid="{D1A3CDE2-47E1-4AAD-9317-0E57106F54B3}" name="Left" dataDxfId="31" dataCellStyle="Good"/>
  </tableColumns>
  <tableStyleInfo name="Blac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144878-DC33-4124-B115-1902D32AE2C0}" name="Expenses_1" displayName="Expenses_1" ref="F10:I23" totalsRowShown="0" headerRowDxfId="22" headerRowBorderDxfId="28" tableBorderDxfId="29" totalsRowBorderDxfId="27" headerRowCellStyle="60% - Accent2">
  <autoFilter ref="F10:I23" xr:uid="{FC144878-DC33-4124-B115-1902D32AE2C0}"/>
  <tableColumns count="4">
    <tableColumn id="1" xr3:uid="{65F58DB8-A87A-49E8-A016-238C70F6AE88}" name="Category" dataDxfId="26" dataCellStyle="Bad"/>
    <tableColumn id="2" xr3:uid="{82ADEAC0-6099-4CB0-887E-29491FF6DCA8}" name="Planned" dataDxfId="25" dataCellStyle="Bad"/>
    <tableColumn id="3" xr3:uid="{88F75FA3-50B7-4EF4-8930-BEB78E05868A}" name="Actual" dataDxfId="24" dataCellStyle="Bad"/>
    <tableColumn id="4" xr3:uid="{10D896E6-BA6B-4A82-85CF-E41C263B010F}" name="Left" dataDxfId="23" dataCellStyle="Bad"/>
  </tableColumns>
  <tableStyleInfo name="Blac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15CE1-6DF3-4364-9157-B7DA629EE3B6}" name="Bills_1" displayName="Bills_1" ref="K10:N23" totalsRowShown="0" headerRowDxfId="14" headerRowBorderDxfId="20" tableBorderDxfId="21" totalsRowBorderDxfId="19" headerRowCellStyle="60% - Accent1">
  <autoFilter ref="K10:N23" xr:uid="{95315CE1-6DF3-4364-9157-B7DA629EE3B6}"/>
  <tableColumns count="4">
    <tableColumn id="1" xr3:uid="{3497076B-A749-4647-892F-683AFA3985F1}" name="Column1" dataDxfId="18" dataCellStyle="40% - Accent1"/>
    <tableColumn id="2" xr3:uid="{51873729-B9DF-4229-939E-D04F155AC2F5}" name="Due" dataDxfId="17" dataCellStyle="40% - Accent1"/>
    <tableColumn id="3" xr3:uid="{489065F1-9551-4006-9C69-B386F39E4A80}" name="Planned" dataDxfId="16" dataCellStyle="40% - Accent1"/>
    <tableColumn id="4" xr3:uid="{C7048F78-83C4-4146-B1BA-510DC08C237D}" name="Actual" dataDxfId="15" dataCellStyle="40% - Accent1"/>
  </tableColumns>
  <tableStyleInfo name="Blac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974A48-9C52-42C3-98BB-3AD0D0B58794}" name="Subscriptions_1" displayName="Subscriptions_1" ref="P10:S23" totalsRowShown="0" headerRowDxfId="6" headerRowBorderDxfId="12" tableBorderDxfId="13" totalsRowBorderDxfId="11" headerRowCellStyle="60% - Accent2">
  <autoFilter ref="P10:S23" xr:uid="{4F974A48-9C52-42C3-98BB-3AD0D0B58794}"/>
  <tableColumns count="4">
    <tableColumn id="1" xr3:uid="{C889B8FE-89CE-4039-8303-E0598D9586BA}" name="Column1" dataDxfId="10" dataCellStyle="40% - Accent2"/>
    <tableColumn id="2" xr3:uid="{761C47E7-0BE1-4C37-B0F2-E3415532E87F}" name="Due" dataDxfId="9" dataCellStyle="40% - Accent2"/>
    <tableColumn id="3" xr3:uid="{391C51D3-1BF9-471B-A571-EF6FC805A68E}" name="Planned" dataDxfId="8" dataCellStyle="40% - Accent2"/>
    <tableColumn id="4" xr3:uid="{2B1050B2-01F9-4952-844C-1C224EA60CD4}" name="Actual" dataDxfId="7" dataCellStyle="40% - Accent2"/>
  </tableColumns>
  <tableStyleInfo name="Blac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5C8EC5-ABB9-47E2-AEDE-5611E5C5880C}" name="Savings_1" displayName="Savings_1" ref="U10:W23" totalsRowShown="0" headerRowBorderDxfId="4" tableBorderDxfId="5" totalsRowBorderDxfId="3">
  <autoFilter ref="U10:W23" xr:uid="{D35C8EC5-ABB9-47E2-AEDE-5611E5C5880C}"/>
  <tableColumns count="3">
    <tableColumn id="1" xr3:uid="{9FE1268F-C42E-4C70-82D5-E74854223B0D}" name="Aim" dataDxfId="2" dataCellStyle="40% - Accent4"/>
    <tableColumn id="2" xr3:uid="{E6C38390-641F-4729-80B3-99B3CB656B29}" name="Planned" dataDxfId="1" dataCellStyle="40% - Accent4"/>
    <tableColumn id="3" xr3:uid="{CB710776-519A-4745-94A5-51935080B852}" name="Actual" dataDxfId="0" dataCellStyle="40% - Accent4"/>
  </tableColumns>
  <tableStyleInfo name="BlackStyl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5B4D-1A70-4E50-828E-C4DC9C765B67}">
  <dimension ref="A1:G6"/>
  <sheetViews>
    <sheetView workbookViewId="0">
      <selection activeCell="C28" sqref="C28"/>
    </sheetView>
  </sheetViews>
  <sheetFormatPr defaultRowHeight="14.4" x14ac:dyDescent="0.3"/>
  <cols>
    <col min="1" max="1" width="18.88671875" customWidth="1"/>
    <col min="2" max="2" width="17.6640625" customWidth="1"/>
    <col min="4" max="4" width="15.6640625" customWidth="1"/>
  </cols>
  <sheetData>
    <row r="1" spans="1:7" x14ac:dyDescent="0.3">
      <c r="A1" s="16" t="s">
        <v>2</v>
      </c>
      <c r="B1" s="16"/>
      <c r="D1" s="17" t="s">
        <v>10</v>
      </c>
      <c r="E1" s="17"/>
      <c r="F1" s="17"/>
      <c r="G1" s="17"/>
    </row>
    <row r="2" spans="1:7" x14ac:dyDescent="0.3">
      <c r="A2" s="2" t="s">
        <v>1</v>
      </c>
      <c r="B2" s="2" t="s">
        <v>3</v>
      </c>
      <c r="D2" s="17" t="s">
        <v>7</v>
      </c>
      <c r="E2" s="17"/>
      <c r="F2" s="17" t="s">
        <v>8</v>
      </c>
      <c r="G2" s="17"/>
    </row>
    <row r="3" spans="1:7" x14ac:dyDescent="0.3">
      <c r="A3" s="1" t="s">
        <v>14</v>
      </c>
      <c r="B3" s="3">
        <v>500</v>
      </c>
      <c r="D3" s="1" t="s">
        <v>11</v>
      </c>
      <c r="E3" s="3">
        <v>350</v>
      </c>
      <c r="F3" s="1"/>
      <c r="G3" s="1"/>
    </row>
    <row r="4" spans="1:7" x14ac:dyDescent="0.3">
      <c r="A4" s="1" t="s">
        <v>4</v>
      </c>
      <c r="B4" s="3">
        <v>400</v>
      </c>
      <c r="D4" s="1" t="s">
        <v>12</v>
      </c>
      <c r="E4" s="3">
        <v>150</v>
      </c>
      <c r="F4" s="1"/>
      <c r="G4" s="1"/>
    </row>
    <row r="5" spans="1:7" x14ac:dyDescent="0.3">
      <c r="A5" s="1" t="s">
        <v>5</v>
      </c>
      <c r="B5" s="3">
        <v>200</v>
      </c>
      <c r="D5" s="1" t="s">
        <v>13</v>
      </c>
      <c r="E5" s="3">
        <v>50</v>
      </c>
      <c r="F5" s="1"/>
      <c r="G5" s="1"/>
    </row>
    <row r="6" spans="1:7" x14ac:dyDescent="0.3">
      <c r="A6" s="2" t="s">
        <v>6</v>
      </c>
      <c r="B6" s="4">
        <f>SUM(B3:B5)</f>
        <v>1100</v>
      </c>
      <c r="D6" s="1" t="s">
        <v>6</v>
      </c>
      <c r="E6" s="3">
        <f>SUM(E3:E5)</f>
        <v>550</v>
      </c>
      <c r="F6" s="1"/>
      <c r="G6" s="1"/>
    </row>
  </sheetData>
  <mergeCells count="4">
    <mergeCell ref="A1:B1"/>
    <mergeCell ref="D2:E2"/>
    <mergeCell ref="D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AD7-A049-4019-A9AC-57E1AC3DEAE9}">
  <dimension ref="A1:W23"/>
  <sheetViews>
    <sheetView tabSelected="1" zoomScale="115" zoomScaleNormal="115" workbookViewId="0">
      <selection activeCell="B4" sqref="B4"/>
    </sheetView>
  </sheetViews>
  <sheetFormatPr defaultRowHeight="14.4" x14ac:dyDescent="0.3"/>
  <cols>
    <col min="1" max="1" width="11.44140625" customWidth="1"/>
    <col min="2" max="2" width="12" bestFit="1" customWidth="1"/>
    <col min="3" max="3" width="16" customWidth="1"/>
    <col min="4" max="4" width="13.88671875" customWidth="1"/>
    <col min="5" max="5" width="18" customWidth="1"/>
    <col min="6" max="6" width="15.109375" customWidth="1"/>
    <col min="7" max="8" width="12" bestFit="1" customWidth="1"/>
    <col min="9" max="9" width="14.5546875" customWidth="1"/>
    <col min="10" max="10" width="10.6640625" bestFit="1" customWidth="1"/>
    <col min="11" max="11" width="12.5546875" customWidth="1"/>
    <col min="12" max="12" width="13.6640625" customWidth="1"/>
    <col min="13" max="13" width="12.33203125" customWidth="1"/>
    <col min="15" max="15" width="9.88671875" bestFit="1" customWidth="1"/>
    <col min="16" max="16" width="12.88671875" customWidth="1"/>
    <col min="17" max="17" width="11.88671875" customWidth="1"/>
    <col min="18" max="18" width="9.21875" customWidth="1"/>
    <col min="19" max="19" width="26.5546875" customWidth="1"/>
    <col min="21" max="21" width="10.33203125" bestFit="1" customWidth="1"/>
    <col min="22" max="22" width="13" customWidth="1"/>
    <col min="23" max="23" width="10.33203125" bestFit="1" customWidth="1"/>
  </cols>
  <sheetData>
    <row r="1" spans="1:23" x14ac:dyDescent="0.3">
      <c r="A1" s="18" t="s">
        <v>44</v>
      </c>
      <c r="B1" s="19"/>
      <c r="C1" s="19"/>
      <c r="D1" s="20"/>
    </row>
    <row r="2" spans="1:23" x14ac:dyDescent="0.3">
      <c r="A2" s="24" t="str" cm="1">
        <f t="array" aca="1" ref="A2" ca="1">CELL("filename")</f>
        <v>C:\Users\maksi\Desktop\Data processing\[budget.xlsx]1</v>
      </c>
      <c r="B2" s="25"/>
      <c r="C2" s="25"/>
      <c r="D2" s="26"/>
    </row>
    <row r="3" spans="1:23" x14ac:dyDescent="0.3">
      <c r="A3" s="1">
        <v>1</v>
      </c>
      <c r="B3" s="7" t="s">
        <v>15</v>
      </c>
      <c r="C3" s="7"/>
      <c r="D3" s="7" t="s">
        <v>47</v>
      </c>
    </row>
    <row r="4" spans="1:23" x14ac:dyDescent="0.3">
      <c r="A4" s="7" t="s">
        <v>0</v>
      </c>
      <c r="B4" s="10">
        <f>B23</f>
        <v>5700</v>
      </c>
      <c r="C4" s="10">
        <f ca="1">C23</f>
        <v>5655.5</v>
      </c>
      <c r="D4" s="10">
        <f ca="1">C4-B4</f>
        <v>-44.5</v>
      </c>
    </row>
    <row r="5" spans="1:23" x14ac:dyDescent="0.3">
      <c r="A5" s="7" t="s">
        <v>45</v>
      </c>
      <c r="B5" s="10">
        <f>G23</f>
        <v>3800</v>
      </c>
      <c r="C5" s="10">
        <f>H23</f>
        <v>4810</v>
      </c>
      <c r="D5" s="10">
        <f>B5-C5</f>
        <v>-1010</v>
      </c>
    </row>
    <row r="6" spans="1:23" x14ac:dyDescent="0.3">
      <c r="A6" s="7" t="s">
        <v>9</v>
      </c>
      <c r="B6" s="10">
        <f>V23</f>
        <v>1900</v>
      </c>
      <c r="C6" s="10">
        <f>W23</f>
        <v>1000</v>
      </c>
      <c r="D6" s="10">
        <f>B6-C6</f>
        <v>900</v>
      </c>
    </row>
    <row r="7" spans="1:23" x14ac:dyDescent="0.3">
      <c r="A7" s="7" t="s">
        <v>46</v>
      </c>
      <c r="B7" s="10">
        <f>B4-B5-B6</f>
        <v>0</v>
      </c>
      <c r="C7" s="10">
        <f ca="1">C4-C5-C6</f>
        <v>-154.5</v>
      </c>
      <c r="D7" s="10">
        <f ca="1">D4+D5+D6</f>
        <v>-154.5</v>
      </c>
    </row>
    <row r="9" spans="1:23" x14ac:dyDescent="0.3">
      <c r="A9" s="27" t="s">
        <v>0</v>
      </c>
      <c r="B9" s="28"/>
      <c r="C9" s="28"/>
      <c r="D9" s="29"/>
      <c r="F9" s="18" t="s">
        <v>19</v>
      </c>
      <c r="G9" s="19"/>
      <c r="H9" s="19"/>
      <c r="I9" s="20"/>
      <c r="K9" s="30" t="s">
        <v>22</v>
      </c>
      <c r="L9" s="31"/>
      <c r="M9" s="31"/>
      <c r="N9" s="32"/>
      <c r="P9" s="18" t="s">
        <v>27</v>
      </c>
      <c r="Q9" s="19"/>
      <c r="R9" s="19"/>
      <c r="S9" s="20"/>
      <c r="U9" s="21" t="s">
        <v>9</v>
      </c>
      <c r="V9" s="22"/>
      <c r="W9" s="23"/>
    </row>
    <row r="10" spans="1:23" x14ac:dyDescent="0.3">
      <c r="A10" s="37" t="s">
        <v>1</v>
      </c>
      <c r="B10" s="37" t="s">
        <v>15</v>
      </c>
      <c r="C10" s="37" t="s">
        <v>16</v>
      </c>
      <c r="D10" s="38" t="s">
        <v>47</v>
      </c>
      <c r="F10" s="41" t="s">
        <v>20</v>
      </c>
      <c r="G10" s="42" t="s">
        <v>15</v>
      </c>
      <c r="H10" s="42" t="s">
        <v>16</v>
      </c>
      <c r="I10" s="43" t="s">
        <v>47</v>
      </c>
      <c r="K10" s="49" t="s">
        <v>56</v>
      </c>
      <c r="L10" s="50" t="s">
        <v>23</v>
      </c>
      <c r="M10" s="50" t="s">
        <v>15</v>
      </c>
      <c r="N10" s="51" t="s">
        <v>16</v>
      </c>
      <c r="P10" s="41" t="s">
        <v>56</v>
      </c>
      <c r="Q10" s="42" t="s">
        <v>23</v>
      </c>
      <c r="R10" s="42" t="s">
        <v>15</v>
      </c>
      <c r="S10" s="43" t="s">
        <v>16</v>
      </c>
      <c r="U10" s="63" t="s">
        <v>40</v>
      </c>
      <c r="V10" s="64" t="s">
        <v>15</v>
      </c>
      <c r="W10" s="65" t="s">
        <v>16</v>
      </c>
    </row>
    <row r="11" spans="1:23" x14ac:dyDescent="0.3">
      <c r="A11" s="15" t="s">
        <v>18</v>
      </c>
      <c r="B11" s="11">
        <v>2500</v>
      </c>
      <c r="C11" s="11">
        <f ca="1">_xlfn.XLOOKUP(A11,[1]!income_1[Category],[1]!income_1[Total],0,1)</f>
        <v>250</v>
      </c>
      <c r="D11" s="33">
        <f ca="1">C11-B11</f>
        <v>-2250</v>
      </c>
      <c r="F11" s="39" t="s">
        <v>21</v>
      </c>
      <c r="G11" s="12">
        <v>1740</v>
      </c>
      <c r="H11" s="12">
        <v>2000</v>
      </c>
      <c r="I11" s="40">
        <f>G11-H11</f>
        <v>-260</v>
      </c>
      <c r="K11" s="47" t="s">
        <v>11</v>
      </c>
      <c r="L11" s="8" t="e" cm="1">
        <f t="array" aca="1" ref="L11" ca="1">_xludf.TEXTAFTER(CELL("filename",A1),"]")</f>
        <v>#NAME?</v>
      </c>
      <c r="M11" s="13">
        <v>1500</v>
      </c>
      <c r="N11" s="48"/>
      <c r="P11" s="56" t="s">
        <v>28</v>
      </c>
      <c r="Q11" s="9">
        <f ca="1">DATE(2025,$C$1,RANDBETWEEN(1,28))</f>
        <v>45632</v>
      </c>
      <c r="R11" s="10">
        <v>33</v>
      </c>
      <c r="S11" s="57"/>
      <c r="U11" s="59" t="s">
        <v>41</v>
      </c>
      <c r="V11" s="14">
        <v>350</v>
      </c>
      <c r="W11" s="62"/>
    </row>
    <row r="12" spans="1:23" x14ac:dyDescent="0.3">
      <c r="A12" s="15" t="s">
        <v>48</v>
      </c>
      <c r="B12" s="11">
        <v>300</v>
      </c>
      <c r="C12" s="11">
        <f ca="1">_xlfn.XLOOKUP(A12,[1]!income_1[Category],[1]!income_1[Total],0,1)</f>
        <v>105.5</v>
      </c>
      <c r="D12" s="33">
        <f t="shared" ref="D12:D16" ca="1" si="0">C12-B12</f>
        <v>-194.5</v>
      </c>
      <c r="F12" s="39" t="s">
        <v>51</v>
      </c>
      <c r="G12" s="12">
        <v>300</v>
      </c>
      <c r="H12" s="12">
        <v>80</v>
      </c>
      <c r="I12" s="40">
        <f t="shared" ref="I12:I19" si="1">G12-H12</f>
        <v>220</v>
      </c>
      <c r="K12" s="47" t="s">
        <v>24</v>
      </c>
      <c r="L12" s="8" t="e">
        <f t="shared" ref="L12:L17" ca="1" si="2">DATE(2025,$A$2,10)</f>
        <v>#VALUE!</v>
      </c>
      <c r="M12" s="13">
        <v>60</v>
      </c>
      <c r="N12" s="48"/>
      <c r="P12" s="56" t="s">
        <v>29</v>
      </c>
      <c r="Q12" s="9">
        <f t="shared" ref="Q12:Q14" ca="1" si="3">DATE(2025,$C$1,RANDBETWEEN(1,28))</f>
        <v>45647</v>
      </c>
      <c r="R12" s="10">
        <v>12.99</v>
      </c>
      <c r="S12" s="57"/>
      <c r="U12" s="59" t="s">
        <v>42</v>
      </c>
      <c r="V12" s="14">
        <v>500</v>
      </c>
      <c r="W12" s="62">
        <v>500</v>
      </c>
    </row>
    <row r="13" spans="1:23" x14ac:dyDescent="0.3">
      <c r="A13" s="15" t="s">
        <v>49</v>
      </c>
      <c r="B13" s="11">
        <v>500</v>
      </c>
      <c r="C13" s="11">
        <f ca="1">_xlfn.XLOOKUP(A13,[1]!income_1[Category],[1]!income_1[Total],0,1)</f>
        <v>0</v>
      </c>
      <c r="D13" s="33">
        <f t="shared" ca="1" si="0"/>
        <v>-500</v>
      </c>
      <c r="F13" s="39" t="s">
        <v>26</v>
      </c>
      <c r="G13" s="12">
        <v>200</v>
      </c>
      <c r="H13" s="12">
        <v>85</v>
      </c>
      <c r="I13" s="40">
        <f t="shared" si="1"/>
        <v>115</v>
      </c>
      <c r="K13" s="47" t="s">
        <v>25</v>
      </c>
      <c r="L13" s="8" t="e">
        <f t="shared" ca="1" si="2"/>
        <v>#VALUE!</v>
      </c>
      <c r="M13" s="13">
        <v>10</v>
      </c>
      <c r="N13" s="48"/>
      <c r="P13" s="56" t="s">
        <v>30</v>
      </c>
      <c r="Q13" s="9">
        <f t="shared" ca="1" si="3"/>
        <v>45627</v>
      </c>
      <c r="R13" s="10">
        <v>42.69</v>
      </c>
      <c r="S13" s="57"/>
      <c r="U13" s="60" t="s">
        <v>37</v>
      </c>
      <c r="V13" s="14">
        <v>500</v>
      </c>
      <c r="W13" s="62">
        <v>500</v>
      </c>
    </row>
    <row r="14" spans="1:23" x14ac:dyDescent="0.3">
      <c r="A14" s="15" t="s">
        <v>50</v>
      </c>
      <c r="B14" s="11">
        <v>100</v>
      </c>
      <c r="C14" s="11">
        <f ca="1">_xlfn.XLOOKUP(A14,[1]!income_1[Category],[1]!income_1[Total],0,1)</f>
        <v>800</v>
      </c>
      <c r="D14" s="33">
        <f t="shared" ca="1" si="0"/>
        <v>700</v>
      </c>
      <c r="F14" s="39" t="s">
        <v>12</v>
      </c>
      <c r="G14" s="12">
        <v>750</v>
      </c>
      <c r="H14" s="12">
        <v>1715</v>
      </c>
      <c r="I14" s="40">
        <f t="shared" si="1"/>
        <v>-965</v>
      </c>
      <c r="K14" s="47" t="s">
        <v>31</v>
      </c>
      <c r="L14" s="8" t="e">
        <f t="shared" ca="1" si="2"/>
        <v>#VALUE!</v>
      </c>
      <c r="M14" s="13">
        <v>35</v>
      </c>
      <c r="N14" s="48"/>
      <c r="P14" s="56" t="s">
        <v>35</v>
      </c>
      <c r="Q14" s="9">
        <f t="shared" ca="1" si="3"/>
        <v>45648</v>
      </c>
      <c r="R14" s="10">
        <v>4.99</v>
      </c>
      <c r="S14" s="57"/>
      <c r="U14" s="60" t="s">
        <v>38</v>
      </c>
      <c r="V14" s="14">
        <v>150</v>
      </c>
      <c r="W14" s="62"/>
    </row>
    <row r="15" spans="1:23" x14ac:dyDescent="0.3">
      <c r="A15" s="15" t="s">
        <v>17</v>
      </c>
      <c r="B15" s="11">
        <v>1500</v>
      </c>
      <c r="C15" s="11">
        <f ca="1">_xlfn.XLOOKUP(A15,[1]!income_1[Category],[1]!income_1[Total],0,1)</f>
        <v>4500</v>
      </c>
      <c r="D15" s="33">
        <f t="shared" ca="1" si="0"/>
        <v>3000</v>
      </c>
      <c r="F15" s="39" t="s">
        <v>52</v>
      </c>
      <c r="G15" s="12">
        <v>130</v>
      </c>
      <c r="H15" s="12">
        <v>100</v>
      </c>
      <c r="I15" s="40">
        <f t="shared" si="1"/>
        <v>30</v>
      </c>
      <c r="K15" s="47" t="s">
        <v>32</v>
      </c>
      <c r="L15" s="8" t="e">
        <f t="shared" ca="1" si="2"/>
        <v>#VALUE!</v>
      </c>
      <c r="M15" s="13">
        <v>25</v>
      </c>
      <c r="N15" s="48"/>
      <c r="P15" s="56"/>
      <c r="Q15" s="6"/>
      <c r="R15" s="10"/>
      <c r="S15" s="57"/>
      <c r="U15" s="59" t="s">
        <v>43</v>
      </c>
      <c r="V15" s="14">
        <v>400</v>
      </c>
      <c r="W15" s="62"/>
    </row>
    <row r="16" spans="1:23" x14ac:dyDescent="0.3">
      <c r="A16" s="15" t="s">
        <v>14</v>
      </c>
      <c r="B16" s="11">
        <v>800</v>
      </c>
      <c r="C16" s="11">
        <f ca="1">_xlfn.XLOOKUP(A16,[1]!income_1[Category],[1]!income_1[Total],0,1)</f>
        <v>0</v>
      </c>
      <c r="D16" s="33">
        <f t="shared" ca="1" si="0"/>
        <v>-800</v>
      </c>
      <c r="F16" s="39" t="s">
        <v>53</v>
      </c>
      <c r="G16" s="12">
        <v>130</v>
      </c>
      <c r="H16" s="12">
        <v>150</v>
      </c>
      <c r="I16" s="40">
        <f t="shared" si="1"/>
        <v>-20</v>
      </c>
      <c r="K16" s="47" t="s">
        <v>33</v>
      </c>
      <c r="L16" s="8" t="e">
        <f t="shared" ca="1" si="2"/>
        <v>#VALUE!</v>
      </c>
      <c r="M16" s="13">
        <v>80</v>
      </c>
      <c r="N16" s="48"/>
      <c r="P16" s="56"/>
      <c r="Q16" s="6"/>
      <c r="R16" s="10"/>
      <c r="S16" s="57"/>
      <c r="U16" s="61"/>
      <c r="V16" s="14"/>
      <c r="W16" s="62"/>
    </row>
    <row r="17" spans="1:23" x14ac:dyDescent="0.3">
      <c r="A17" s="2"/>
      <c r="B17" s="11"/>
      <c r="C17" s="11"/>
      <c r="D17" s="33"/>
      <c r="F17" s="39" t="s">
        <v>54</v>
      </c>
      <c r="G17" s="12">
        <v>200</v>
      </c>
      <c r="H17" s="12">
        <v>500</v>
      </c>
      <c r="I17" s="40">
        <f t="shared" si="1"/>
        <v>-300</v>
      </c>
      <c r="K17" s="47" t="s">
        <v>34</v>
      </c>
      <c r="L17" s="8" t="e">
        <f t="shared" ca="1" si="2"/>
        <v>#VALUE!</v>
      </c>
      <c r="M17" s="13">
        <v>35</v>
      </c>
      <c r="N17" s="48"/>
      <c r="P17" s="56"/>
      <c r="Q17" s="6"/>
      <c r="R17" s="10"/>
      <c r="S17" s="57"/>
      <c r="U17" s="61"/>
      <c r="V17" s="14"/>
      <c r="W17" s="62"/>
    </row>
    <row r="18" spans="1:23" x14ac:dyDescent="0.3">
      <c r="A18" s="2"/>
      <c r="B18" s="11"/>
      <c r="C18" s="11"/>
      <c r="D18" s="33"/>
      <c r="F18" s="39" t="s">
        <v>55</v>
      </c>
      <c r="G18" s="12">
        <v>200</v>
      </c>
      <c r="H18" s="12">
        <v>100</v>
      </c>
      <c r="I18" s="40">
        <f t="shared" si="1"/>
        <v>100</v>
      </c>
      <c r="K18" s="47"/>
      <c r="L18" s="5"/>
      <c r="M18" s="13"/>
      <c r="N18" s="48"/>
      <c r="P18" s="56"/>
      <c r="Q18" s="6"/>
      <c r="R18" s="10"/>
      <c r="S18" s="57"/>
      <c r="U18" s="61"/>
      <c r="V18" s="14"/>
      <c r="W18" s="62"/>
    </row>
    <row r="19" spans="1:23" x14ac:dyDescent="0.3">
      <c r="A19" s="2"/>
      <c r="B19" s="11"/>
      <c r="C19" s="11"/>
      <c r="D19" s="33"/>
      <c r="F19" s="39" t="s">
        <v>36</v>
      </c>
      <c r="G19" s="12">
        <v>150</v>
      </c>
      <c r="H19" s="12">
        <v>80</v>
      </c>
      <c r="I19" s="40">
        <f t="shared" si="1"/>
        <v>70</v>
      </c>
      <c r="K19" s="47"/>
      <c r="L19" s="5"/>
      <c r="M19" s="13"/>
      <c r="N19" s="48"/>
      <c r="P19" s="56"/>
      <c r="Q19" s="6"/>
      <c r="R19" s="10"/>
      <c r="S19" s="57"/>
      <c r="U19" s="61"/>
      <c r="V19" s="14"/>
      <c r="W19" s="62"/>
    </row>
    <row r="20" spans="1:23" x14ac:dyDescent="0.3">
      <c r="A20" s="2"/>
      <c r="B20" s="11"/>
      <c r="C20" s="11"/>
      <c r="D20" s="33"/>
      <c r="F20" s="39"/>
      <c r="G20" s="12"/>
      <c r="H20" s="12"/>
      <c r="I20" s="40"/>
      <c r="K20" s="47"/>
      <c r="L20" s="5"/>
      <c r="M20" s="13"/>
      <c r="N20" s="48"/>
      <c r="P20" s="56"/>
      <c r="Q20" s="6"/>
      <c r="R20" s="10"/>
      <c r="S20" s="57"/>
      <c r="U20" s="61"/>
      <c r="V20" s="14"/>
      <c r="W20" s="62"/>
    </row>
    <row r="21" spans="1:23" x14ac:dyDescent="0.3">
      <c r="A21" s="2"/>
      <c r="B21" s="11"/>
      <c r="C21" s="11"/>
      <c r="D21" s="33"/>
      <c r="F21" s="39"/>
      <c r="G21" s="12"/>
      <c r="H21" s="12"/>
      <c r="I21" s="40"/>
      <c r="K21" s="47"/>
      <c r="L21" s="5"/>
      <c r="M21" s="13"/>
      <c r="N21" s="48"/>
      <c r="P21" s="56"/>
      <c r="Q21" s="6"/>
      <c r="R21" s="10"/>
      <c r="S21" s="57"/>
      <c r="U21" s="61"/>
      <c r="V21" s="14"/>
      <c r="W21" s="62"/>
    </row>
    <row r="22" spans="1:23" x14ac:dyDescent="0.3">
      <c r="A22" s="2"/>
      <c r="B22" s="11"/>
      <c r="C22" s="11"/>
      <c r="D22" s="33"/>
      <c r="F22" s="39"/>
      <c r="G22" s="12"/>
      <c r="H22" s="12"/>
      <c r="I22" s="40"/>
      <c r="K22" s="47"/>
      <c r="L22" s="5"/>
      <c r="M22" s="13"/>
      <c r="N22" s="48"/>
      <c r="P22" s="56"/>
      <c r="Q22" s="6"/>
      <c r="R22" s="10"/>
      <c r="S22" s="57"/>
      <c r="U22" s="61"/>
      <c r="V22" s="14"/>
      <c r="W22" s="62"/>
    </row>
    <row r="23" spans="1:23" x14ac:dyDescent="0.3">
      <c r="A23" s="34" t="s">
        <v>39</v>
      </c>
      <c r="B23" s="35">
        <f>SUM(B11:B22)</f>
        <v>5700</v>
      </c>
      <c r="C23" s="35">
        <f ca="1">SUM(C11:C22)</f>
        <v>5655.5</v>
      </c>
      <c r="D23" s="36">
        <f ca="1">SUM(D11:D22)</f>
        <v>-44.5</v>
      </c>
      <c r="F23" s="44" t="s">
        <v>39</v>
      </c>
      <c r="G23" s="45">
        <f>SUM(G11:G22)</f>
        <v>3800</v>
      </c>
      <c r="H23" s="45">
        <f>SUM(H11:H22)</f>
        <v>4810</v>
      </c>
      <c r="I23" s="46">
        <f>SUM(I11:I22)</f>
        <v>-1010</v>
      </c>
      <c r="K23" s="52" t="s">
        <v>39</v>
      </c>
      <c r="L23" s="53"/>
      <c r="M23" s="54">
        <f>SUM(M11:M22)</f>
        <v>1745</v>
      </c>
      <c r="N23" s="55">
        <f>SUM(N11:N22)</f>
        <v>0</v>
      </c>
      <c r="P23" s="44" t="s">
        <v>39</v>
      </c>
      <c r="Q23" s="58"/>
      <c r="R23" s="45">
        <f>SUM(R11:R22)</f>
        <v>93.67</v>
      </c>
      <c r="S23" s="46">
        <f>SUM(S11:S22)</f>
        <v>0</v>
      </c>
      <c r="U23" s="66" t="s">
        <v>39</v>
      </c>
      <c r="V23" s="67">
        <f>SUM(V11:V22)</f>
        <v>1900</v>
      </c>
      <c r="W23" s="68">
        <f>SUM(W11:W22)</f>
        <v>1000</v>
      </c>
    </row>
  </sheetData>
  <mergeCells count="7">
    <mergeCell ref="P9:S9"/>
    <mergeCell ref="U9:W9"/>
    <mergeCell ref="A1:D1"/>
    <mergeCell ref="A2:D2"/>
    <mergeCell ref="A9:D9"/>
    <mergeCell ref="F9:I9"/>
    <mergeCell ref="K9:N9"/>
  </mergeCells>
  <conditionalFormatting sqref="B7:D7">
    <cfRule type="cellIs" dxfId="38" priority="2" operator="lessThan">
      <formula>0</formula>
    </cfRule>
  </conditionalFormatting>
  <conditionalFormatting sqref="L11:L22">
    <cfRule type="cellIs" dxfId="37" priority="1" operator="lessThan">
      <formula>45636</formula>
    </cfRule>
  </conditionalFormatting>
  <pageMargins left="0.7" right="0.7" top="0.75" bottom="0.75" header="0.3" footer="0.3"/>
  <pageSetup paperSize="9" orientation="portrait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en-A013-15</dc:creator>
  <cp:lastModifiedBy>Maksym Prylukin</cp:lastModifiedBy>
  <dcterms:created xsi:type="dcterms:W3CDTF">2025-10-29T14:10:59Z</dcterms:created>
  <dcterms:modified xsi:type="dcterms:W3CDTF">2025-12-17T14:50:57Z</dcterms:modified>
</cp:coreProperties>
</file>